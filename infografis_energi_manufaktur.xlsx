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hafr\Downloads\"/>
    </mc:Choice>
  </mc:AlternateContent>
  <xr:revisionPtr revIDLastSave="0" documentId="13_ncr:1_{DF956474-2884-492A-B610-CAD2205DABBE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1. Konsumsi Energi Sektoral" sheetId="1" r:id="rId1"/>
    <sheet name="2. Bauran Energi &amp; EBT" sheetId="2" r:id="rId2"/>
    <sheet name="3. Gap EBT &amp; Rekomendasi" sheetId="3" r:id="rId3"/>
    <sheet name="4. Ringkasan Storytell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3" l="1"/>
  <c r="D7" i="3"/>
  <c r="D6" i="3"/>
  <c r="D19" i="2"/>
  <c r="C19" i="2"/>
  <c r="D18" i="2"/>
  <c r="C18" i="2"/>
  <c r="D17" i="2"/>
  <c r="C17" i="2"/>
  <c r="D15" i="2"/>
  <c r="C15" i="2"/>
  <c r="B10" i="2"/>
</calcChain>
</file>

<file path=xl/sharedStrings.xml><?xml version="1.0" encoding="utf-8"?>
<sst xmlns="http://schemas.openxmlformats.org/spreadsheetml/2006/main" count="90" uniqueCount="84">
  <si>
    <t>ADAPTASI SEKTOR MANUFAKTUR TERHADAP ENERGI BERSIH — DATA VISUALISASI</t>
  </si>
  <si>
    <t>Sumber: BPS Neraca Energi Indonesia 2020–2024 | Kementerian ESDM 2024</t>
  </si>
  <si>
    <t>TABEL 1 — Konsumsi Energi per Sektor (Juta Terajoule), 2020–2024</t>
  </si>
  <si>
    <t>Sektor</t>
  </si>
  <si>
    <t>2020</t>
  </si>
  <si>
    <t>2021</t>
  </si>
  <si>
    <t>2022</t>
  </si>
  <si>
    <t>2023</t>
  </si>
  <si>
    <t>2024</t>
  </si>
  <si>
    <t>Industri, Konstruksi &amp; Pertambangan</t>
  </si>
  <si>
    <t>Rumah Tangga</t>
  </si>
  <si>
    <t>Transportasi</t>
  </si>
  <si>
    <t>Catatan: Sektor industri naik hampir 2× lipat dari 2020 ke 2024 — menjadikannya penyerap energi terbesar nasional.</t>
  </si>
  <si>
    <t>BAURAN ENERGI PRIMER INDONESIA 2023 &amp; TREN EBT</t>
  </si>
  <si>
    <t>Sumber: Dewan Energi Nasional (DEN) / Kementerian ESDM 2024</t>
  </si>
  <si>
    <t>TABEL 2 — Bauran Energi Primer 2023</t>
  </si>
  <si>
    <t>Jenis Energi</t>
  </si>
  <si>
    <t>Porsi (%)</t>
  </si>
  <si>
    <t>Batubara</t>
  </si>
  <si>
    <t>Minyak Bumi</t>
  </si>
  <si>
    <t>Gas Bumi</t>
  </si>
  <si>
    <t>Energi Baru Terbarukan (EBT)</t>
  </si>
  <si>
    <t>TOTAL</t>
  </si>
  <si>
    <t>TABEL 3 — Konsumsi Listrik per Kapita (kWh), 2019–2024</t>
  </si>
  <si>
    <t>Tahun</t>
  </si>
  <si>
    <t>kWh/Kapita</t>
  </si>
  <si>
    <t>Perubahan (kWh)</t>
  </si>
  <si>
    <t>% Perubahan</t>
  </si>
  <si>
    <t>Data terbatas</t>
  </si>
  <si>
    <t>GAP TARGET vs REALISASI EBT &amp; REKOMENDASI KEBIJAKAN</t>
  </si>
  <si>
    <t>Sumber: DEN / ESDM — Bauran Energi Nasional 2023 &amp; Program Kerja 2024</t>
  </si>
  <si>
    <t>TABEL 4 — Gap Realisasi vs Target Bauran EBT (%)</t>
  </si>
  <si>
    <t>Indikator</t>
  </si>
  <si>
    <t>Realisasi (%)</t>
  </si>
  <si>
    <t>Target (%)</t>
  </si>
  <si>
    <t>Gap (ppt)</t>
  </si>
  <si>
    <t>Bauran EBT 2022</t>
  </si>
  <si>
    <t>Bauran EBT 2023</t>
  </si>
  <si>
    <t>Proyeksi EBT 2024</t>
  </si>
  <si>
    <t>Target EBT 2025</t>
  </si>
  <si>
    <t>—</t>
  </si>
  <si>
    <t>Target nasional</t>
  </si>
  <si>
    <t>REKOMENDASI KEBIJAKAN — Adaptasi Manufaktur Menuju Energi Bersih</t>
  </si>
  <si>
    <t>No</t>
  </si>
  <si>
    <t>Rekomendasi</t>
  </si>
  <si>
    <t>Detail Aksi</t>
  </si>
  <si>
    <t>Horizon</t>
  </si>
  <si>
    <t>Prioritas</t>
  </si>
  <si>
    <t>1</t>
  </si>
  <si>
    <t>Percepat PLTS Atap Industri</t>
  </si>
  <si>
    <t>Wajibkan pemasangan panel surya di kawasan industri besar dengan insentif pajak.</t>
  </si>
  <si>
    <t>Jangka Pendek</t>
  </si>
  <si>
    <t>★★★</t>
  </si>
  <si>
    <t>2</t>
  </si>
  <si>
    <t>Adopsi Sistem Manajemen Energi ISO 50001</t>
  </si>
  <si>
    <t>Standarisasi audit energi berkala untuk pabrik dengan konsumsi &gt;6.000 TOE/tahun.</t>
  </si>
  <si>
    <t>3</t>
  </si>
  <si>
    <t>Power Purchase Agreement (PPA) EBT</t>
  </si>
  <si>
    <t>Kolaborasi industri–PLN untuk kontrak listrik terbarukan jangka panjang.</t>
  </si>
  <si>
    <t>Jangka Menengah</t>
  </si>
  <si>
    <t>★★☆</t>
  </si>
  <si>
    <t>4</t>
  </si>
  <si>
    <t>Tingkatkan TKDN Komponen EBT</t>
  </si>
  <si>
    <t>Dorong TKDN dari 49,8% ke target 55,45% untuk kembangkan industri komponen lokal.</t>
  </si>
  <si>
    <t>5</t>
  </si>
  <si>
    <t>Green Hydrogen untuk Industri Berat</t>
  </si>
  <si>
    <t>Kembangkan pilot project hydrogen hijau untuk sektor baja, semen, dan petrokimia.</t>
  </si>
  <si>
    <t>Jangka Panjang</t>
  </si>
  <si>
    <t>★☆☆</t>
  </si>
  <si>
    <t>6</t>
  </si>
  <si>
    <t>Regulasi Wajib Emisi Industri</t>
  </si>
  <si>
    <t>Tetapkan batas emisi CO₂ per unit produksi dengan skema carbon trading nasional.</t>
  </si>
  <si>
    <t>STORYTELLING — ADAPTASI MANUFAKTUR MENUJU ENERGI BERSIH</t>
  </si>
  <si>
    <t>BABAK 1 · MASALAH</t>
  </si>
  <si>
    <t>Sektor industri adalah mesin ekonomi Indonesia (17,18% PDB) — sekaligus penyerap energi terbesar. Konsumsinya naik dari 2,37 juta TJ (2020) menjadi 4,52 juta TJ (2024), hampir 2× lipat dalam 4 tahun. Sementara itu, 86,9% energi nasional masih bergantung pada fosil.</t>
  </si>
  <si>
    <t>BABAK 2 · PERJALANAN</t>
  </si>
  <si>
    <t>Pemerintah mulai bertindak: 331 perusahaan besar wajib audit energi, biodiesel B35 diberlakukan (12,2 juta KL di 2023), dan PLTS Atap mulai diadopsi industri. Intensitas energi berhasil ditekan 0,89 SBM/miliar Rp — melampaui target nasional.</t>
  </si>
  <si>
    <t>BABAK 3 · TANTANGAN</t>
  </si>
  <si>
    <t>Meski ada kemajuan, bauran EBT 2023 baru 13,1% — jauh di bawah target 17,87% dan semakin jauh dari target ambisius 23% di 2025. Gap ini mencerminkan perlunya akselerasi investasi dan kebijakan yang lebih kuat di sektor industri.</t>
  </si>
  <si>
    <t>BABAK 4 · SOLUSI</t>
  </si>
  <si>
    <t>Solusi konkret: percepat PLTS Atap, adopsi ISO 50001, dorong PPA EBT, tingkatkan TKDN komponen EBT, kembangkan green hydrogen, dan terapkan regulasi batas emisi. Penurunan 127,67 juta ton CO₂ di 2023 membuktikan perubahan bisa terjadi.</t>
  </si>
  <si>
    <t>KESIMPULAN</t>
  </si>
  <si>
    <t>Adaptasi manufaktur terhadap energi bersih bukan lagi pilihan — ini adalah keharusan strategis. Dengan kebijakan tepat, insentif kuat, dan kolaborasi industri–pemerintah, Indonesia dapat menjadi pemimpin transisi energi bersih di Asia Tenggara.</t>
  </si>
  <si>
    <t>Sumber data: BPS Neraca Energi Indonesia 2020–2024 (No. Pub. 05300.24027) · Kementerian ESDM 2023–2024 · DEN Bauran Energi 2023 · Indonesia.go.id PDB Manufaktur Q3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</si>
</sst>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\%"/>
    <numFmt numFmtId="165" formatCode="\+#,##0;\-#,##0"/>
    <numFmt numFmtId="166" formatCode="\+0.0%;\-0.0%"/>
    <numFmt numFmtId="167" formatCode="0.00\%"/>
    <numFmt numFmtId="168" formatCode="0.00&quot; ppt&quot;"/>
  </numFmts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0F6E56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0F6E56"/>
      <name val="Arial"/>
      <charset val="1"/>
    </font>
    <font>
      <b/>
      <sz val="10"/>
      <name val="Arial"/>
      <charset val="1"/>
    </font>
    <font>
      <i/>
      <sz val="9"/>
      <color rgb="FF999999"/>
      <name val="Arial"/>
      <charset val="1"/>
    </font>
    <font>
      <b/>
      <sz val="11"/>
      <color rgb="FF3C3489"/>
      <name val="Arial"/>
      <charset val="1"/>
    </font>
    <font>
      <b/>
      <sz val="10"/>
      <color rgb="FF0F6E56"/>
      <name val="Arial"/>
      <charset val="1"/>
    </font>
    <font>
      <b/>
      <sz val="10"/>
      <color rgb="FFA32D2D"/>
      <name val="Arial"/>
      <charset val="1"/>
    </font>
    <font>
      <sz val="10"/>
      <color rgb="FF999999"/>
      <name val="Arial"/>
      <charset val="1"/>
    </font>
    <font>
      <i/>
      <sz val="10"/>
      <color rgb="FF666666"/>
      <name val="Arial"/>
      <charset val="1"/>
    </font>
    <font>
      <sz val="9"/>
      <color rgb="FF333333"/>
      <name val="Arial"/>
      <charset val="1"/>
    </font>
    <font>
      <b/>
      <sz val="9"/>
      <color rgb="FF0F6E56"/>
      <name val="Arial"/>
      <charset val="1"/>
    </font>
    <font>
      <sz val="12"/>
      <color rgb="FFE8A000"/>
      <name val="Arial"/>
      <charset val="1"/>
    </font>
    <font>
      <b/>
      <sz val="10"/>
      <color rgb="FF3C3489"/>
      <name val="Arial"/>
      <charset val="1"/>
    </font>
    <font>
      <b/>
      <sz val="9"/>
      <color rgb="FF3C3489"/>
      <name val="Arial"/>
      <charset val="1"/>
    </font>
    <font>
      <b/>
      <sz val="10"/>
      <color rgb="FF854F0B"/>
      <name val="Arial"/>
      <charset val="1"/>
    </font>
    <font>
      <b/>
      <sz val="9"/>
      <color rgb="FF854F0B"/>
      <name val="Arial"/>
      <charset val="1"/>
    </font>
    <font>
      <b/>
      <sz val="13"/>
      <color rgb="FFFFFFFF"/>
      <name val="Arial"/>
      <charset val="1"/>
    </font>
    <font>
      <sz val="10"/>
      <color rgb="FF111111"/>
      <name val="Arial"/>
      <charset val="1"/>
    </font>
    <font>
      <b/>
      <sz val="10"/>
      <color rgb="FFE1F5EE"/>
      <name val="Arial"/>
      <charset val="1"/>
    </font>
    <font>
      <b/>
      <sz val="10"/>
      <color rgb="FFEEEDFE"/>
      <name val="Arial"/>
      <charset val="1"/>
    </font>
    <font>
      <i/>
      <sz val="9"/>
      <color rgb="FF555555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E1F5EE"/>
        <bgColor rgb="FFEEEDFE"/>
      </patternFill>
    </fill>
    <fill>
      <patternFill patternType="solid">
        <fgColor rgb="FF085041"/>
        <bgColor rgb="FF0F6E56"/>
      </patternFill>
    </fill>
    <fill>
      <patternFill patternType="solid">
        <fgColor rgb="FFFFFFFF"/>
        <bgColor rgb="FFF9F9F9"/>
      </patternFill>
    </fill>
    <fill>
      <patternFill patternType="solid">
        <fgColor rgb="FF1D9E75"/>
        <bgColor rgb="FF008080"/>
      </patternFill>
    </fill>
    <fill>
      <patternFill patternType="solid">
        <fgColor rgb="FFF9F9F9"/>
        <bgColor rgb="FFFFFFFF"/>
      </patternFill>
    </fill>
    <fill>
      <patternFill patternType="solid">
        <fgColor rgb="FF3C3489"/>
        <bgColor rgb="FF444444"/>
      </patternFill>
    </fill>
    <fill>
      <patternFill patternType="solid">
        <fgColor rgb="FFEEEDFE"/>
        <bgColor rgb="FFE1F5EE"/>
      </patternFill>
    </fill>
    <fill>
      <patternFill patternType="solid">
        <fgColor rgb="FF444444"/>
        <bgColor rgb="FF555555"/>
      </patternFill>
    </fill>
    <fill>
      <patternFill patternType="solid">
        <fgColor rgb="FFFFF3E0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4" fontId="6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4" fontId="6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0" fontId="4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167" fontId="11" fillId="7" borderId="1" xfId="0" applyNumberFormat="1" applyFont="1" applyFill="1" applyBorder="1" applyAlignment="1">
      <alignment horizontal="center" vertical="center"/>
    </xf>
    <xf numFmtId="167" fontId="6" fillId="7" borderId="1" xfId="0" applyNumberFormat="1" applyFont="1" applyFill="1" applyBorder="1" applyAlignment="1">
      <alignment horizontal="center" vertical="center"/>
    </xf>
    <xf numFmtId="168" fontId="12" fillId="7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21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CCCCC"/>
      <rgbColor rgb="FF878787"/>
      <rgbColor rgb="FFAFA9EC"/>
      <rgbColor rgb="FFD4537E"/>
      <rgbColor rgb="FFFFF3E0"/>
      <rgbColor rgb="FFE1F5EE"/>
      <rgbColor rgb="FF660066"/>
      <rgbColor rgb="FFF09595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F9F9F9"/>
      <rgbColor rgb="FFFFFF99"/>
      <rgbColor rgb="FF99CCFF"/>
      <rgbColor rgb="FFFF99CC"/>
      <rgbColor rgb="FFCC99FF"/>
      <rgbColor rgb="FFFAC775"/>
      <rgbColor rgb="FF4F81BD"/>
      <rgbColor rgb="FF5DCAA5"/>
      <rgbColor rgb="FF99CC00"/>
      <rgbColor rgb="FFFFCC00"/>
      <rgbColor rgb="FFE8A000"/>
      <rgbColor rgb="FFFF6600"/>
      <rgbColor rgb="FF666666"/>
      <rgbColor rgb="FF999999"/>
      <rgbColor rgb="FF085041"/>
      <rgbColor rgb="FF1D9E75"/>
      <rgbColor rgb="FF111111"/>
      <rgbColor rgb="FF444444"/>
      <rgbColor rgb="FFA32D2D"/>
      <rgbColor rgb="FF555555"/>
      <rgbColor rgb="FF3C348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="84" zoomScaleNormal="100" workbookViewId="0">
      <selection activeCell="A16" sqref="A16"/>
    </sheetView>
  </sheetViews>
  <sheetFormatPr defaultColWidth="8.7109375" defaultRowHeight="15" x14ac:dyDescent="0.25"/>
  <cols>
    <col min="1" max="1" width="38" customWidth="1"/>
    <col min="2" max="6" width="14" customWidth="1"/>
  </cols>
  <sheetData>
    <row r="1" spans="1:6" ht="34.5" customHeight="1" x14ac:dyDescent="0.25">
      <c r="A1" s="45" t="s">
        <v>0</v>
      </c>
      <c r="B1" s="45"/>
      <c r="C1" s="45"/>
      <c r="D1" s="45"/>
      <c r="E1" s="45"/>
      <c r="F1" s="45"/>
    </row>
    <row r="2" spans="1:6" ht="18" customHeight="1" x14ac:dyDescent="0.25">
      <c r="A2" s="46" t="s">
        <v>1</v>
      </c>
      <c r="B2" s="46"/>
      <c r="C2" s="46"/>
      <c r="D2" s="46"/>
      <c r="E2" s="46"/>
      <c r="F2" s="46"/>
    </row>
    <row r="4" spans="1:6" ht="21.75" customHeight="1" x14ac:dyDescent="0.25">
      <c r="A4" s="47" t="s">
        <v>2</v>
      </c>
      <c r="B4" s="47"/>
      <c r="C4" s="47"/>
      <c r="D4" s="47"/>
      <c r="E4" s="47"/>
      <c r="F4" s="47"/>
    </row>
    <row r="5" spans="1:6" ht="21.7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19.5" customHeight="1" x14ac:dyDescent="0.25">
      <c r="A6" s="2" t="s">
        <v>9</v>
      </c>
      <c r="B6" s="3">
        <v>2.37</v>
      </c>
      <c r="C6" s="3">
        <v>2.69</v>
      </c>
      <c r="D6" s="3">
        <v>3.84</v>
      </c>
      <c r="E6" s="3">
        <v>4.16</v>
      </c>
      <c r="F6" s="3">
        <v>4.5199999999999996</v>
      </c>
    </row>
    <row r="7" spans="1:6" ht="19.5" customHeight="1" x14ac:dyDescent="0.25">
      <c r="A7" s="4" t="s">
        <v>10</v>
      </c>
      <c r="B7" s="5">
        <v>1.53</v>
      </c>
      <c r="C7" s="5">
        <v>1.58</v>
      </c>
      <c r="D7" s="5">
        <v>1.55</v>
      </c>
      <c r="E7" s="5">
        <v>1.61</v>
      </c>
      <c r="F7" s="5">
        <v>1.66</v>
      </c>
    </row>
    <row r="8" spans="1:6" ht="19.5" customHeight="1" x14ac:dyDescent="0.25">
      <c r="A8" s="6" t="s">
        <v>11</v>
      </c>
      <c r="B8" s="3">
        <v>0.87</v>
      </c>
      <c r="C8" s="3">
        <v>0.89</v>
      </c>
      <c r="D8" s="3">
        <v>0.95</v>
      </c>
      <c r="E8" s="3">
        <v>1.01</v>
      </c>
      <c r="F8" s="3">
        <v>1.05</v>
      </c>
    </row>
    <row r="9" spans="1:6" ht="19.5" customHeight="1" x14ac:dyDescent="0.25">
      <c r="A9" s="48" t="s">
        <v>12</v>
      </c>
      <c r="B9" s="48"/>
      <c r="C9" s="48"/>
      <c r="D9" s="48"/>
      <c r="E9" s="48"/>
      <c r="F9" s="48"/>
    </row>
  </sheetData>
  <mergeCells count="4">
    <mergeCell ref="A1:F1"/>
    <mergeCell ref="A2:F2"/>
    <mergeCell ref="A4:F4"/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opLeftCell="A2" zoomScaleNormal="100" workbookViewId="0">
      <selection sqref="A1:E1"/>
    </sheetView>
  </sheetViews>
  <sheetFormatPr defaultColWidth="8.7109375" defaultRowHeight="15" x14ac:dyDescent="0.25"/>
  <cols>
    <col min="1" max="1" width="28" customWidth="1"/>
    <col min="2" max="3" width="18" customWidth="1"/>
    <col min="4" max="4" width="16" customWidth="1"/>
    <col min="5" max="5" width="14" customWidth="1"/>
  </cols>
  <sheetData>
    <row r="1" spans="1:5" ht="34.5" customHeight="1" x14ac:dyDescent="0.25">
      <c r="A1" s="45" t="s">
        <v>13</v>
      </c>
      <c r="B1" s="45"/>
      <c r="C1" s="45"/>
      <c r="D1" s="45"/>
      <c r="E1" s="45"/>
    </row>
    <row r="2" spans="1:5" ht="15.75" customHeight="1" x14ac:dyDescent="0.25">
      <c r="A2" s="46" t="s">
        <v>14</v>
      </c>
      <c r="B2" s="46"/>
      <c r="C2" s="46"/>
      <c r="D2" s="46"/>
      <c r="E2" s="46"/>
    </row>
    <row r="4" spans="1:5" ht="15" customHeight="1" x14ac:dyDescent="0.25">
      <c r="A4" s="47" t="s">
        <v>15</v>
      </c>
      <c r="B4" s="47"/>
    </row>
    <row r="5" spans="1:5" ht="21.75" customHeight="1" x14ac:dyDescent="0.25">
      <c r="A5" s="1" t="s">
        <v>16</v>
      </c>
      <c r="B5" s="1" t="s">
        <v>17</v>
      </c>
    </row>
    <row r="6" spans="1:5" ht="19.5" customHeight="1" x14ac:dyDescent="0.25">
      <c r="A6" s="7" t="s">
        <v>18</v>
      </c>
      <c r="B6" s="8">
        <v>40.46</v>
      </c>
    </row>
    <row r="7" spans="1:5" ht="19.5" customHeight="1" x14ac:dyDescent="0.25">
      <c r="A7" s="7" t="s">
        <v>19</v>
      </c>
      <c r="B7" s="8">
        <v>30.18</v>
      </c>
    </row>
    <row r="8" spans="1:5" ht="19.5" customHeight="1" x14ac:dyDescent="0.25">
      <c r="A8" s="7" t="s">
        <v>20</v>
      </c>
      <c r="B8" s="8">
        <v>16.28</v>
      </c>
    </row>
    <row r="9" spans="1:5" ht="19.5" customHeight="1" x14ac:dyDescent="0.25">
      <c r="A9" s="7" t="s">
        <v>21</v>
      </c>
      <c r="B9" s="8">
        <v>13.09</v>
      </c>
    </row>
    <row r="10" spans="1:5" ht="19.5" customHeight="1" x14ac:dyDescent="0.25">
      <c r="A10" s="2" t="s">
        <v>22</v>
      </c>
      <c r="B10" s="9">
        <f>SUM(B6:B9)</f>
        <v>100.01</v>
      </c>
    </row>
    <row r="12" spans="1:5" ht="21.75" customHeight="1" x14ac:dyDescent="0.25">
      <c r="A12" s="47" t="s">
        <v>23</v>
      </c>
      <c r="B12" s="47"/>
      <c r="C12" s="47"/>
      <c r="D12" s="47"/>
      <c r="E12" s="47"/>
    </row>
    <row r="13" spans="1:5" ht="21.75" customHeight="1" x14ac:dyDescent="0.25">
      <c r="A13" s="1" t="s">
        <v>24</v>
      </c>
      <c r="B13" s="1" t="s">
        <v>25</v>
      </c>
      <c r="C13" s="1" t="s">
        <v>26</v>
      </c>
      <c r="D13" s="1" t="s">
        <v>27</v>
      </c>
    </row>
    <row r="14" spans="1:5" ht="19.5" customHeight="1" x14ac:dyDescent="0.25">
      <c r="A14" s="10">
        <v>2019</v>
      </c>
      <c r="B14" s="11">
        <v>1084</v>
      </c>
      <c r="C14" s="11"/>
      <c r="D14" s="11"/>
    </row>
    <row r="15" spans="1:5" ht="19.5" customHeight="1" x14ac:dyDescent="0.25">
      <c r="A15" s="12">
        <v>2020</v>
      </c>
      <c r="B15" s="13">
        <v>1089</v>
      </c>
      <c r="C15" s="14">
        <f>B15-B14</f>
        <v>5</v>
      </c>
      <c r="D15" s="15">
        <f>(B15-B14)/B14</f>
        <v>4.6125461254612546E-3</v>
      </c>
    </row>
    <row r="16" spans="1:5" ht="19.5" customHeight="1" x14ac:dyDescent="0.25">
      <c r="A16" s="10">
        <v>2021</v>
      </c>
      <c r="B16" s="16" t="s">
        <v>28</v>
      </c>
      <c r="C16" s="11"/>
      <c r="D16" s="11"/>
    </row>
    <row r="17" spans="1:4" ht="19.5" customHeight="1" x14ac:dyDescent="0.25">
      <c r="A17" s="12">
        <v>2022</v>
      </c>
      <c r="B17" s="13">
        <v>1173</v>
      </c>
      <c r="C17" s="14">
        <f>B17-B15</f>
        <v>84</v>
      </c>
      <c r="D17" s="15">
        <f>(B17-B15)/B15</f>
        <v>7.7134986225895319E-2</v>
      </c>
    </row>
    <row r="18" spans="1:4" ht="19.5" customHeight="1" x14ac:dyDescent="0.25">
      <c r="A18" s="10">
        <v>2023</v>
      </c>
      <c r="B18" s="11">
        <v>1337</v>
      </c>
      <c r="C18" s="14">
        <f>B18-B17</f>
        <v>164</v>
      </c>
      <c r="D18" s="15">
        <f>(B18-B17)/B17</f>
        <v>0.13981244671781756</v>
      </c>
    </row>
    <row r="19" spans="1:4" ht="19.5" customHeight="1" x14ac:dyDescent="0.25">
      <c r="A19" s="12">
        <v>2024</v>
      </c>
      <c r="B19" s="13">
        <v>1411</v>
      </c>
      <c r="C19" s="14">
        <f>B19-B18</f>
        <v>74</v>
      </c>
      <c r="D19" s="15">
        <f>(B19-B18)/B18</f>
        <v>5.5347793567688854E-2</v>
      </c>
    </row>
  </sheetData>
  <mergeCells count="4">
    <mergeCell ref="A1:E1"/>
    <mergeCell ref="A2:E2"/>
    <mergeCell ref="A4:B4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zoomScaleNormal="100" workbookViewId="0">
      <selection sqref="A1:E1"/>
    </sheetView>
  </sheetViews>
  <sheetFormatPr defaultColWidth="8.7109375" defaultRowHeight="15" x14ac:dyDescent="0.25"/>
  <cols>
    <col min="1" max="1" width="6" customWidth="1"/>
    <col min="2" max="2" width="28" customWidth="1"/>
    <col min="3" max="3" width="50" customWidth="1"/>
    <col min="4" max="4" width="18" customWidth="1"/>
    <col min="5" max="5" width="12" customWidth="1"/>
    <col min="6" max="6" width="3" customWidth="1"/>
    <col min="7" max="8" width="26" customWidth="1"/>
    <col min="9" max="9" width="3" customWidth="1"/>
    <col min="10" max="10" width="16" customWidth="1"/>
  </cols>
  <sheetData>
    <row r="1" spans="1:5" ht="34.5" customHeight="1" x14ac:dyDescent="0.25">
      <c r="A1" s="49" t="s">
        <v>29</v>
      </c>
      <c r="B1" s="49"/>
      <c r="C1" s="49"/>
      <c r="D1" s="49"/>
      <c r="E1" s="49"/>
    </row>
    <row r="2" spans="1:5" ht="15.75" customHeight="1" x14ac:dyDescent="0.25">
      <c r="A2" s="50" t="s">
        <v>30</v>
      </c>
      <c r="B2" s="50"/>
      <c r="C2" s="50"/>
      <c r="D2" s="50"/>
      <c r="E2" s="50"/>
    </row>
    <row r="4" spans="1:5" ht="21.75" customHeight="1" x14ac:dyDescent="0.25">
      <c r="A4" s="51" t="s">
        <v>31</v>
      </c>
      <c r="B4" s="51"/>
      <c r="C4" s="51"/>
      <c r="D4" s="51"/>
    </row>
    <row r="5" spans="1:5" ht="21.75" customHeight="1" x14ac:dyDescent="0.25">
      <c r="A5" s="17" t="s">
        <v>32</v>
      </c>
      <c r="B5" s="17" t="s">
        <v>33</v>
      </c>
      <c r="C5" s="17" t="s">
        <v>34</v>
      </c>
      <c r="D5" s="17" t="s">
        <v>35</v>
      </c>
    </row>
    <row r="6" spans="1:5" ht="19.5" customHeight="1" x14ac:dyDescent="0.25">
      <c r="A6" s="18" t="s">
        <v>36</v>
      </c>
      <c r="B6" s="19">
        <v>12.3</v>
      </c>
      <c r="C6" s="20">
        <v>15.7</v>
      </c>
      <c r="D6" s="21">
        <f>C6-B6</f>
        <v>3.3999999999999986</v>
      </c>
    </row>
    <row r="7" spans="1:5" ht="19.5" customHeight="1" x14ac:dyDescent="0.25">
      <c r="A7" s="18" t="s">
        <v>37</v>
      </c>
      <c r="B7" s="19">
        <v>13.09</v>
      </c>
      <c r="C7" s="20">
        <v>17.87</v>
      </c>
      <c r="D7" s="21">
        <f>C7-B7</f>
        <v>4.7800000000000011</v>
      </c>
    </row>
    <row r="8" spans="1:5" ht="19.5" customHeight="1" x14ac:dyDescent="0.25">
      <c r="A8" s="18" t="s">
        <v>38</v>
      </c>
      <c r="B8" s="19">
        <v>13.8</v>
      </c>
      <c r="C8" s="20">
        <v>19.5</v>
      </c>
      <c r="D8" s="21">
        <f>C8-B8</f>
        <v>5.6999999999999993</v>
      </c>
    </row>
    <row r="9" spans="1:5" ht="19.5" customHeight="1" x14ac:dyDescent="0.25">
      <c r="A9" s="22" t="s">
        <v>39</v>
      </c>
      <c r="B9" s="23" t="s">
        <v>40</v>
      </c>
      <c r="C9" s="20">
        <v>23</v>
      </c>
      <c r="D9" s="24" t="s">
        <v>41</v>
      </c>
    </row>
    <row r="11" spans="1:5" ht="24" customHeight="1" x14ac:dyDescent="0.25">
      <c r="A11" s="52" t="s">
        <v>42</v>
      </c>
      <c r="B11" s="52"/>
      <c r="C11" s="52"/>
      <c r="D11" s="52"/>
      <c r="E11" s="52"/>
    </row>
    <row r="12" spans="1:5" ht="19.5" customHeight="1" x14ac:dyDescent="0.25">
      <c r="A12" s="25" t="s">
        <v>43</v>
      </c>
      <c r="B12" s="25" t="s">
        <v>44</v>
      </c>
      <c r="C12" s="25" t="s">
        <v>45</v>
      </c>
      <c r="D12" s="25" t="s">
        <v>46</v>
      </c>
      <c r="E12" s="25" t="s">
        <v>47</v>
      </c>
    </row>
    <row r="13" spans="1:5" ht="36" customHeight="1" x14ac:dyDescent="0.25">
      <c r="A13" s="26" t="s">
        <v>48</v>
      </c>
      <c r="B13" s="27" t="s">
        <v>49</v>
      </c>
      <c r="C13" s="28" t="s">
        <v>50</v>
      </c>
      <c r="D13" s="29" t="s">
        <v>51</v>
      </c>
      <c r="E13" s="30" t="s">
        <v>52</v>
      </c>
    </row>
    <row r="14" spans="1:5" ht="36" customHeight="1" x14ac:dyDescent="0.25">
      <c r="A14" s="26" t="s">
        <v>53</v>
      </c>
      <c r="B14" s="27" t="s">
        <v>54</v>
      </c>
      <c r="C14" s="28" t="s">
        <v>55</v>
      </c>
      <c r="D14" s="29" t="s">
        <v>51</v>
      </c>
      <c r="E14" s="30" t="s">
        <v>52</v>
      </c>
    </row>
    <row r="15" spans="1:5" ht="36" customHeight="1" x14ac:dyDescent="0.25">
      <c r="A15" s="26" t="s">
        <v>56</v>
      </c>
      <c r="B15" s="31" t="s">
        <v>57</v>
      </c>
      <c r="C15" s="32" t="s">
        <v>58</v>
      </c>
      <c r="D15" s="33" t="s">
        <v>59</v>
      </c>
      <c r="E15" s="34" t="s">
        <v>60</v>
      </c>
    </row>
    <row r="16" spans="1:5" ht="36" customHeight="1" x14ac:dyDescent="0.25">
      <c r="A16" s="26" t="s">
        <v>61</v>
      </c>
      <c r="B16" s="31" t="s">
        <v>62</v>
      </c>
      <c r="C16" s="32" t="s">
        <v>63</v>
      </c>
      <c r="D16" s="33" t="s">
        <v>59</v>
      </c>
      <c r="E16" s="34" t="s">
        <v>60</v>
      </c>
    </row>
    <row r="17" spans="1:5" ht="36" customHeight="1" x14ac:dyDescent="0.25">
      <c r="A17" s="26" t="s">
        <v>64</v>
      </c>
      <c r="B17" s="35" t="s">
        <v>65</v>
      </c>
      <c r="C17" s="36" t="s">
        <v>66</v>
      </c>
      <c r="D17" s="37" t="s">
        <v>67</v>
      </c>
      <c r="E17" s="38" t="s">
        <v>68</v>
      </c>
    </row>
    <row r="18" spans="1:5" ht="36" customHeight="1" x14ac:dyDescent="0.25">
      <c r="A18" s="26" t="s">
        <v>69</v>
      </c>
      <c r="B18" s="35" t="s">
        <v>70</v>
      </c>
      <c r="C18" s="36" t="s">
        <v>71</v>
      </c>
      <c r="D18" s="37" t="s">
        <v>67</v>
      </c>
      <c r="E18" s="38" t="s">
        <v>68</v>
      </c>
    </row>
  </sheetData>
  <mergeCells count="4">
    <mergeCell ref="A1:E1"/>
    <mergeCell ref="A2:E2"/>
    <mergeCell ref="A4:D4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zoomScaleNormal="100" workbookViewId="0">
      <selection activeCell="K7" sqref="K7"/>
    </sheetView>
  </sheetViews>
  <sheetFormatPr defaultColWidth="8.7109375" defaultRowHeight="15" x14ac:dyDescent="0.25"/>
  <cols>
    <col min="1" max="1" width="22" customWidth="1"/>
    <col min="2" max="2" width="60" customWidth="1"/>
  </cols>
  <sheetData>
    <row r="1" spans="1:2" ht="34.5" customHeight="1" x14ac:dyDescent="0.25">
      <c r="A1" s="53" t="s">
        <v>72</v>
      </c>
      <c r="B1" s="53"/>
    </row>
    <row r="3" spans="1:2" ht="60" customHeight="1" x14ac:dyDescent="0.25">
      <c r="A3" s="39" t="s">
        <v>73</v>
      </c>
      <c r="B3" s="40" t="s">
        <v>74</v>
      </c>
    </row>
    <row r="4" spans="1:2" ht="60" customHeight="1" x14ac:dyDescent="0.25">
      <c r="A4" s="41" t="s">
        <v>75</v>
      </c>
      <c r="B4" s="42" t="s">
        <v>76</v>
      </c>
    </row>
    <row r="5" spans="1:2" ht="60" customHeight="1" x14ac:dyDescent="0.25">
      <c r="A5" s="43" t="s">
        <v>77</v>
      </c>
      <c r="B5" s="40" t="s">
        <v>78</v>
      </c>
    </row>
    <row r="6" spans="1:2" ht="60" customHeight="1" x14ac:dyDescent="0.25">
      <c r="A6" s="44" t="s">
        <v>79</v>
      </c>
      <c r="B6" s="42" t="s">
        <v>80</v>
      </c>
    </row>
    <row r="7" spans="1:2" ht="60" customHeight="1" x14ac:dyDescent="0.25">
      <c r="A7" s="39" t="s">
        <v>81</v>
      </c>
      <c r="B7" s="40" t="s">
        <v>82</v>
      </c>
    </row>
    <row r="9" spans="1:2" ht="30" customHeight="1" x14ac:dyDescent="0.25">
      <c r="A9" s="54" t="s">
        <v>83</v>
      </c>
      <c r="B9" s="54"/>
    </row>
  </sheetData>
  <mergeCells count="2">
    <mergeCell ref="A1:B1"/>
    <mergeCell ref="A9:B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Konsumsi Energi Sektoral</vt:lpstr>
      <vt:lpstr>2. Bauran Energi &amp; EBT</vt:lpstr>
      <vt:lpstr>3. Gap EBT &amp; Rekomendasi</vt:lpstr>
      <vt:lpstr>4. Ringkasan Storytelling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ZHAFRAN PRATAMA</cp:lastModifiedBy>
  <cp:revision>2</cp:revision>
  <dcterms:created xsi:type="dcterms:W3CDTF">2026-06-15T08:34:32Z</dcterms:created>
  <dcterms:modified xsi:type="dcterms:W3CDTF">2026-06-15T09:03:29Z</dcterms:modified>
  <dc:language>en-US</dc:language>
</cp:coreProperties>
</file>